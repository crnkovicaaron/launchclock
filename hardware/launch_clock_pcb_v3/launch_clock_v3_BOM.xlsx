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Crnkovic\Documents\Excel Stuff\"/>
    </mc:Choice>
  </mc:AlternateContent>
  <xr:revisionPtr revIDLastSave="0" documentId="13_ncr:1_{0257CCC0-B4FF-4770-BC8B-EFD45B1E8396}" xr6:coauthVersionLast="47" xr6:coauthVersionMax="47" xr10:uidLastSave="{00000000-0000-0000-0000-000000000000}"/>
  <bookViews>
    <workbookView xWindow="-96" yWindow="-96" windowWidth="23232" windowHeight="13872" xr2:uid="{8BC2A70C-5F9F-4A63-BA50-F8D144AF1F95}"/>
  </bookViews>
  <sheets>
    <sheet name="launch_clock_pcb_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X25" i="1"/>
  <c r="Y25" i="1" s="1"/>
  <c r="Z25" i="1" s="1"/>
  <c r="X24" i="1"/>
  <c r="Y24" i="1" s="1"/>
  <c r="Z24" i="1" s="1"/>
  <c r="T25" i="1"/>
  <c r="U25" i="1"/>
  <c r="U24" i="1"/>
  <c r="T24" i="1"/>
  <c r="V22" i="1"/>
  <c r="V23" i="1"/>
  <c r="X23" i="1" s="1"/>
  <c r="V21" i="1"/>
  <c r="X21" i="1" s="1"/>
  <c r="X13" i="1"/>
  <c r="X14" i="1"/>
  <c r="X15" i="1"/>
  <c r="X16" i="1"/>
  <c r="X3" i="1"/>
  <c r="W4" i="1"/>
  <c r="W5" i="1"/>
  <c r="W6" i="1"/>
  <c r="W7" i="1"/>
  <c r="W8" i="1"/>
  <c r="Y8" i="1" s="1"/>
  <c r="Z8" i="1" s="1"/>
  <c r="W9" i="1"/>
  <c r="Y9" i="1" s="1"/>
  <c r="Z9" i="1" s="1"/>
  <c r="W10" i="1"/>
  <c r="X10" i="1" s="1"/>
  <c r="W11" i="1"/>
  <c r="Y11" i="1" s="1"/>
  <c r="Z11" i="1" s="1"/>
  <c r="W12" i="1"/>
  <c r="X12" i="1" s="1"/>
  <c r="W13" i="1"/>
  <c r="W14" i="1"/>
  <c r="W15" i="1"/>
  <c r="W16" i="1"/>
  <c r="W17" i="1"/>
  <c r="W18" i="1"/>
  <c r="W19" i="1"/>
  <c r="V4" i="1"/>
  <c r="X4" i="1" s="1"/>
  <c r="V5" i="1"/>
  <c r="X5" i="1" s="1"/>
  <c r="V6" i="1"/>
  <c r="X6" i="1" s="1"/>
  <c r="V7" i="1"/>
  <c r="X7" i="1" s="1"/>
  <c r="V8" i="1"/>
  <c r="X8" i="1" s="1"/>
  <c r="V9" i="1"/>
  <c r="X9" i="1" s="1"/>
  <c r="V10" i="1"/>
  <c r="V11" i="1"/>
  <c r="X11" i="1" s="1"/>
  <c r="V12" i="1"/>
  <c r="V20" i="1" s="1"/>
  <c r="V13" i="1"/>
  <c r="V14" i="1"/>
  <c r="V15" i="1"/>
  <c r="V16" i="1"/>
  <c r="Y16" i="1" s="1"/>
  <c r="Z16" i="1" s="1"/>
  <c r="V17" i="1"/>
  <c r="X17" i="1" s="1"/>
  <c r="V18" i="1"/>
  <c r="X18" i="1" s="1"/>
  <c r="V19" i="1"/>
  <c r="X19" i="1" s="1"/>
  <c r="W3" i="1"/>
  <c r="V3" i="1"/>
  <c r="Y13" i="1"/>
  <c r="Z13" i="1" s="1"/>
  <c r="Y14" i="1"/>
  <c r="Z14" i="1" s="1"/>
  <c r="K16" i="1"/>
  <c r="K15" i="1"/>
  <c r="Y12" i="1" l="1"/>
  <c r="Z12" i="1" s="1"/>
  <c r="X22" i="1"/>
  <c r="Y22" i="1" s="1"/>
  <c r="Z22" i="1" s="1"/>
  <c r="Y21" i="1"/>
  <c r="Z21" i="1" s="1"/>
  <c r="Y23" i="1"/>
  <c r="Z23" i="1" s="1"/>
  <c r="Y6" i="1"/>
  <c r="Z6" i="1" s="1"/>
  <c r="X20" i="1"/>
  <c r="Y18" i="1"/>
  <c r="Z18" i="1" s="1"/>
  <c r="Y7" i="1"/>
  <c r="Z7" i="1" s="1"/>
  <c r="Y5" i="1"/>
  <c r="Z5" i="1" s="1"/>
  <c r="Y4" i="1"/>
  <c r="Z4" i="1" s="1"/>
  <c r="Y19" i="1"/>
  <c r="Z19" i="1" s="1"/>
  <c r="Y10" i="1"/>
  <c r="Z10" i="1" s="1"/>
  <c r="W20" i="1"/>
  <c r="Y17" i="1"/>
  <c r="Z17" i="1" s="1"/>
  <c r="Y15" i="1"/>
  <c r="Z15" i="1" s="1"/>
  <c r="Y3" i="1"/>
  <c r="Z3" i="1" s="1"/>
  <c r="Y20" i="1" l="1"/>
  <c r="Y26" i="1" s="1"/>
  <c r="Z20" i="1"/>
  <c r="Z26" i="1" s="1"/>
</calcChain>
</file>

<file path=xl/sharedStrings.xml><?xml version="1.0" encoding="utf-8"?>
<sst xmlns="http://schemas.openxmlformats.org/spreadsheetml/2006/main" count="188" uniqueCount="159">
  <si>
    <t>Reference</t>
  </si>
  <si>
    <t>Qty</t>
  </si>
  <si>
    <t>Value</t>
  </si>
  <si>
    <t>Footprint</t>
  </si>
  <si>
    <t>DKPN</t>
  </si>
  <si>
    <t>Datasheet</t>
  </si>
  <si>
    <t>BT1</t>
  </si>
  <si>
    <t>3V</t>
  </si>
  <si>
    <t>Battery:BatteryHolder_Keystone_500</t>
  </si>
  <si>
    <t>36-500-ND</t>
  </si>
  <si>
    <t>file:///C:/Users/Aaron%20Crnkovic/Downloads/500%20(1).PDF</t>
  </si>
  <si>
    <t>C1,C2</t>
  </si>
  <si>
    <t>22pF</t>
  </si>
  <si>
    <t>Capacitor_SMD:C_0603_1608Metric_Pad1.08x0.95mm_HandSolder</t>
  </si>
  <si>
    <t>490-4942-1-ND</t>
  </si>
  <si>
    <t>https://pim.murata.com/asset/pim4/ceramicCapacitorSMD/GCM1885C2A220JA16-01A-EN_PDF_CERAMICCAPACITORSMD</t>
  </si>
  <si>
    <t>C3,C4,C5,C6,C7,C9</t>
  </si>
  <si>
    <t>490-14359-1-ND</t>
  </si>
  <si>
    <t>https://pim.murata.com/asset/pim4/ceramicCapacitorSMD/GCM188R91E104KA37-04A-EN_PDF_CERAMICCAPACITORSMD</t>
  </si>
  <si>
    <t>C8</t>
  </si>
  <si>
    <t>490-10475-1-ND</t>
  </si>
  <si>
    <t>https://mm.digikey.com/Volume0/opasdata/d220001/medias/docus/8942/490_Chip_Multilayer_CAT2021_MLCC.pdf</t>
  </si>
  <si>
    <t>C10,C11</t>
  </si>
  <si>
    <t>478-11220-1-ND</t>
  </si>
  <si>
    <t>https://datasheets.kyocera-avx.com/TAJ_AUTO.pdf</t>
  </si>
  <si>
    <t>C12,C13,C14</t>
  </si>
  <si>
    <t>490-7203-1-ND</t>
  </si>
  <si>
    <t>https://mm.digikey.com/Volume0/opasdata/d220001/medias/docus/8942/Chip_Multilayer_CAT2021_MLCC.pdf</t>
  </si>
  <si>
    <t>DS1,DS2</t>
  </si>
  <si>
    <t>launch_clock_footprints:launch_clock_7seg</t>
  </si>
  <si>
    <t>DS3</t>
  </si>
  <si>
    <t>launch_clock_footprints:1088AS_footprint</t>
  </si>
  <si>
    <t>F1</t>
  </si>
  <si>
    <t>0.5A</t>
  </si>
  <si>
    <t>Fuse:Fuse_1206_3216Metric_Pad1.42x1.75mm_HandSolder</t>
  </si>
  <si>
    <t>13-JB12F5000RCT-ND</t>
  </si>
  <si>
    <t>https://mm.digikey.com/Volume0/opasdata/d220001/medias/docus/8834/JB12F.pdf</t>
  </si>
  <si>
    <t>J1</t>
  </si>
  <si>
    <t>lc_USB-C_2</t>
  </si>
  <si>
    <t>launch_clock_footprints:lc_USB-C_2</t>
  </si>
  <si>
    <t>2223-UJ20-C-H-G-SMT-1-P16-TRCT-ND</t>
  </si>
  <si>
    <t>https://www.sameskydevices.com/product/resource/uj20-c-h-g-smt-1-p16-tr.pdf</t>
  </si>
  <si>
    <t>J2</t>
  </si>
  <si>
    <t>Connector_PinHeader_2.54mm:PinHeader_2x03_P2.54mm_Vertical</t>
  </si>
  <si>
    <t>N/A</t>
  </si>
  <si>
    <t>R1,R2,R5,R10</t>
  </si>
  <si>
    <t>10k</t>
  </si>
  <si>
    <t>Resistor_SMD:R_0603_1608Metric_Pad0.98x0.95mm_HandSolder</t>
  </si>
  <si>
    <t>R3,R4</t>
  </si>
  <si>
    <t>4.7k</t>
  </si>
  <si>
    <t>R6</t>
  </si>
  <si>
    <t>22.1k</t>
  </si>
  <si>
    <t>R7</t>
  </si>
  <si>
    <t>47.5k</t>
  </si>
  <si>
    <t>R8,R9</t>
  </si>
  <si>
    <t>5.1k</t>
  </si>
  <si>
    <t>R11</t>
  </si>
  <si>
    <t>1M</t>
  </si>
  <si>
    <t>https://industrial.panasonic.com/cdbs/www-data/pdf/RDA0000/AOA0000C304.pdf</t>
  </si>
  <si>
    <t>R12,R13</t>
  </si>
  <si>
    <t>1k</t>
  </si>
  <si>
    <t>S1</t>
  </si>
  <si>
    <t>Connector_PinHeader_2.54mm:PinHeader_1x08_P2.54mm_Horizontal</t>
  </si>
  <si>
    <t>S2</t>
  </si>
  <si>
    <t>lc_reset_button</t>
  </si>
  <si>
    <t>launch_clock_footprints:lc_reset_button</t>
  </si>
  <si>
    <t>2223-TS18-5-25-SL-260-SMT-TRCT-ND</t>
  </si>
  <si>
    <t>https://www.sameskydevices.com/product/resource/ts18.pdf</t>
  </si>
  <si>
    <t>U1</t>
  </si>
  <si>
    <t>ATmega328P</t>
  </si>
  <si>
    <t>Package_QFP:TQFP-32_7x7mm_P0.8mm</t>
  </si>
  <si>
    <t>ATMEGA328PB-AU-ND</t>
  </si>
  <si>
    <t>https://ww1.microchip.com/downloads/en/DeviceDoc/40001907A.pdf</t>
  </si>
  <si>
    <t>U2,U3</t>
  </si>
  <si>
    <t>MAX7221</t>
  </si>
  <si>
    <t>Package_SO:SOIC-24W_7.5x15.4mm_P1.27mm</t>
  </si>
  <si>
    <t>https://datasheets.maximintegrated.com/en/ds/MAX7219-MAX7221.pdf</t>
  </si>
  <si>
    <t>U4</t>
  </si>
  <si>
    <t>DS3231M</t>
  </si>
  <si>
    <t>Package_SO:SOIC-8_3.9x4.9mm_P1.27mm</t>
  </si>
  <si>
    <t>175-DS3231MZ+TRLCT-ND</t>
  </si>
  <si>
    <t>http://datasheets.maximintegrated.com/en/ds/DS3231M.pdf</t>
  </si>
  <si>
    <t>U5</t>
  </si>
  <si>
    <t>CP2102N-Axx-xQFN24</t>
  </si>
  <si>
    <t>Package_DFN_QFN:QFN-24-1EP_4x4mm_P0.5mm_EP2.6x2.6mm</t>
  </si>
  <si>
    <t>336-5887-ND</t>
  </si>
  <si>
    <t>https://www.silabs.com/documents/public/data-sheets/cp2102n-datasheet.pdf</t>
  </si>
  <si>
    <t>U6</t>
  </si>
  <si>
    <t>AP22816BKWT</t>
  </si>
  <si>
    <t>Package_TO_SOT_SMD:SOT-23-5</t>
  </si>
  <si>
    <t>31-AP22816BKWT-7CT-ND</t>
  </si>
  <si>
    <t>https://www.diodes.com/assets/Datasheets/AP22816_17_18.pdf</t>
  </si>
  <si>
    <t>U7</t>
  </si>
  <si>
    <t>USBLC6-2SC6</t>
  </si>
  <si>
    <t>Package_TO_SOT_SMD:SOT-23-6</t>
  </si>
  <si>
    <t>497-5235-1-ND</t>
  </si>
  <si>
    <t>https://www.st.com/resource/en/datasheet/usblc6-2.pdf</t>
  </si>
  <si>
    <t>X1</t>
  </si>
  <si>
    <t>16MHz</t>
  </si>
  <si>
    <t>launch_clock_footprints:16MHz_resonator</t>
  </si>
  <si>
    <t>https://cfd.citizen.co.jp/cms/cfd/pdf/english/HC-49_U-S_E.pdf</t>
  </si>
  <si>
    <t>[300-6034-ND] - UNEEDED</t>
  </si>
  <si>
    <t>V2:</t>
  </si>
  <si>
    <t>V3:</t>
  </si>
  <si>
    <t>Height</t>
  </si>
  <si>
    <t>Width</t>
  </si>
  <si>
    <t>Area</t>
  </si>
  <si>
    <t>Part</t>
  </si>
  <si>
    <t>Net Cost</t>
  </si>
  <si>
    <t>Part Cost</t>
  </si>
  <si>
    <t>Total Cost</t>
  </si>
  <si>
    <t>22pF Ceramic Capacitor</t>
  </si>
  <si>
    <t>0.1µF Ceramic Capacitor</t>
  </si>
  <si>
    <t>10µF Ceramic Capacitor</t>
  </si>
  <si>
    <t>10µF Tantalum Capacitor</t>
  </si>
  <si>
    <t>4.7µF Ceramic Capacitor</t>
  </si>
  <si>
    <t>USB-C 2.0 Receptacle</t>
  </si>
  <si>
    <t>Push Button Switch (Reset)</t>
  </si>
  <si>
    <t>ATMEGA328PB</t>
  </si>
  <si>
    <t>USBLC6 (ESD diodes)</t>
  </si>
  <si>
    <t>AP22816B (load switch)</t>
  </si>
  <si>
    <t>CP2102N [24 pin]</t>
  </si>
  <si>
    <t>DS3231MZ [8 pin]</t>
  </si>
  <si>
    <t>Battery Holder [CR1220]</t>
  </si>
  <si>
    <t>ICSP</t>
  </si>
  <si>
    <t>keypad</t>
  </si>
  <si>
    <t>1x6 2.54mm [Str-F] (7-seg)</t>
  </si>
  <si>
    <t>1x8 2.54mm [Str-F] (Mtrx)</t>
  </si>
  <si>
    <t>1x6 female headers</t>
  </si>
  <si>
    <t>1x8 female headers</t>
  </si>
  <si>
    <t>2223-SSK02-FPH-254-A8-ND</t>
  </si>
  <si>
    <t>2223-SSK02-FPH-254-A6-ND</t>
  </si>
  <si>
    <t>EN</t>
  </si>
  <si>
    <t>MAX7221 [10pcs]</t>
  </si>
  <si>
    <t>P5.10KHCT-ND</t>
  </si>
  <si>
    <t>5.1kΩ Resistor [0603]</t>
  </si>
  <si>
    <t>https://www.sameskydevices.com/product/resource/ssk02-fph-254.pdf</t>
  </si>
  <si>
    <t>1528-3844-ND</t>
  </si>
  <si>
    <t>4x4 Keypad</t>
  </si>
  <si>
    <t>Order Qty</t>
  </si>
  <si>
    <t>Board Qty</t>
  </si>
  <si>
    <t>0.1µF</t>
  </si>
  <si>
    <t>10µF</t>
  </si>
  <si>
    <t>4.7µF</t>
  </si>
  <si>
    <t>launch_clock_footprints:lc_10µF_tantalum</t>
  </si>
  <si>
    <t>Board Cost</t>
  </si>
  <si>
    <t>amazon_MAX7221_option1</t>
  </si>
  <si>
    <t>MAX7221 [5pcs]</t>
  </si>
  <si>
    <t>amazon_MAX7221_option2</t>
  </si>
  <si>
    <t>amazon_MAX7221_option3</t>
  </si>
  <si>
    <t>Tax</t>
  </si>
  <si>
    <t>(unkn)</t>
  </si>
  <si>
    <t>Net Tariff</t>
  </si>
  <si>
    <t>Part Tariff</t>
  </si>
  <si>
    <t>Sales Tax:</t>
  </si>
  <si>
    <t>PCBWay</t>
  </si>
  <si>
    <t>OSHPark</t>
  </si>
  <si>
    <t>launch_clock_pcb_v3 [5pcs]</t>
  </si>
  <si>
    <t>launch_clock_pcb_v3 [3pcs]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</si>
</sst>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33" borderId="0" xfId="0" applyFill="1"/>
    <xf numFmtId="0" fontId="21" fillId="0" borderId="0" xfId="0" applyFont="1"/>
    <xf numFmtId="0" fontId="16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21" fillId="33" borderId="0" xfId="0" applyFont="1" applyFill="1"/>
    <xf numFmtId="0" fontId="16" fillId="0" borderId="14" xfId="0" applyFont="1" applyBorder="1" applyAlignment="1">
      <alignment horizontal="center"/>
    </xf>
    <xf numFmtId="0" fontId="16" fillId="0" borderId="14" xfId="0" applyFont="1" applyBorder="1"/>
    <xf numFmtId="0" fontId="16" fillId="0" borderId="15" xfId="0" applyFon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44" fontId="0" fillId="0" borderId="12" xfId="42" applyFont="1" applyBorder="1"/>
    <xf numFmtId="44" fontId="0" fillId="0" borderId="0" xfId="42" applyFont="1" applyBorder="1"/>
    <xf numFmtId="44" fontId="0" fillId="0" borderId="12" xfId="42" applyFont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44" fontId="0" fillId="0" borderId="16" xfId="42" applyFont="1" applyBorder="1"/>
    <xf numFmtId="44" fontId="0" fillId="0" borderId="16" xfId="42" applyFont="1" applyBorder="1" applyAlignment="1">
      <alignment horizontal="center"/>
    </xf>
    <xf numFmtId="44" fontId="0" fillId="0" borderId="16" xfId="0" applyNumberFormat="1" applyBorder="1"/>
    <xf numFmtId="44" fontId="0" fillId="0" borderId="0" xfId="42" applyFont="1" applyBorder="1" applyAlignment="1">
      <alignment horizontal="center"/>
    </xf>
    <xf numFmtId="9" fontId="0" fillId="0" borderId="0" xfId="43" applyFont="1"/>
    <xf numFmtId="10" fontId="0" fillId="0" borderId="0" xfId="43" applyNumberFormat="1" applyFont="1"/>
    <xf numFmtId="0" fontId="16" fillId="0" borderId="17" xfId="0" applyFont="1" applyBorder="1" applyAlignment="1">
      <alignment horizontal="center"/>
    </xf>
    <xf numFmtId="10" fontId="0" fillId="0" borderId="18" xfId="43" applyNumberFormat="1" applyFont="1" applyBorder="1"/>
    <xf numFmtId="0" fontId="16" fillId="0" borderId="13" xfId="0" applyFont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44" fontId="0" fillId="0" borderId="19" xfId="42" applyFont="1" applyBorder="1"/>
    <xf numFmtId="44" fontId="0" fillId="0" borderId="19" xfId="42" applyFont="1" applyBorder="1" applyAlignment="1">
      <alignment horizontal="center"/>
    </xf>
    <xf numFmtId="0" fontId="0" fillId="0" borderId="20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21" xfId="0" applyNumberFormat="1" applyBorder="1"/>
    <xf numFmtId="0" fontId="0" fillId="0" borderId="22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23" xfId="0" applyNumberFormat="1" applyBorder="1"/>
    <xf numFmtId="0" fontId="0" fillId="0" borderId="24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25" xfId="0" applyNumberFormat="1" applyBorder="1"/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0" fillId="0" borderId="27" xfId="0" applyNumberFormat="1" applyBorder="1"/>
    <xf numFmtId="44" fontId="16" fillId="0" borderId="10" xfId="42" applyFont="1" applyBorder="1"/>
    <xf numFmtId="44" fontId="0" fillId="0" borderId="11" xfId="42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strike val="0"/>
        <color theme="0" tint="-0.24994659260841701"/>
      </font>
    </dxf>
    <dxf>
      <font>
        <strike val="0"/>
        <color theme="0" tint="-0.24994659260841701"/>
      </font>
    </dxf>
  </dxfs>
  <tableStyles count="1" defaultTableStyle="TableStyleMedium2" defaultPivotStyle="PivotStyleLight16">
    <tableStyle name="Invisible" pivot="0" table="0" count="0" xr9:uid="{6295F06A-331E-4737-AE40-D27C8076D6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MAX7221CWG-SOP24-MAX7221-SOP-5PCS/dp/B0HDCJZJ91/ref=sr_1_10?crid=L3MVYWK5ADXG&amp;dib=eyJ2IjoiMSJ9.eX3m0Qwj7EdKIVE9mJzkipHifQyYINOd-Jv6lV3HSy_yRRvHFgNXtz_VaM5xt3Ktc4VPYo5fBohhpHigdxCv2z1C8w0wDMk6RUBicFwEkcEm0vJUFH3jUmarWnsMPNz8VpvpXebLWmVs6z2RbIUhzkEUYN1yfXClLXCx-1eW-bES2Rn6T0ctCryUm8GiutZeajLJwY83uHcnm1Fop-0HhDcz7syF0lve9Og-7KyiktE.rR8bZNR5SX2pw_-k_gQwjQ9qGo_inLB_Upy6M1uWOfI&amp;dib_tag=se&amp;keywords=MAX7221&amp;qid=1789835476&amp;sprefix=max7221%2Caps%2C156&amp;sr=8-10" TargetMode="External"/><Relationship Id="rId2" Type="http://schemas.openxmlformats.org/officeDocument/2006/relationships/hyperlink" Target="https://www.amazon.com/dp/B09PLPT7B7?lv=shuf&amp;social_share=cm_sw_r_cso_cp_apin_dp_RCYCS8Z75P62M81HECK5&amp;channelId=704&amp;ref_=cm_sw_r_cso_cp_apin_dp_RCYCS8Z75P62M81HECK5&amp;plpRedirect=mhFallback" TargetMode="External"/><Relationship Id="rId1" Type="http://schemas.openxmlformats.org/officeDocument/2006/relationships/hyperlink" Target="https://www.amazon.com/10PCS-MAX7221CWG-MAX7221CW-MAX7221C-MAX7221/dp/B0DRFMGX6S/ref=sr_1_4?crid=24IBI6224S40X&amp;dib=eyJ2IjoiMSJ9.eX3m0Qwj7EdKIVE9mJzkipHifQyYINOd-Jv6lV3HSy_yRRvHFgNXtz_VaM5xt3Ktc4VPYo5fBohhpHigdxCv2z1C8w0wDMk6RUBicFwEkcEm0vJUFH3jUmarWnsMPNz8VpvpXebLWmVs6z2RbIUhzkEUYN1yfXClLXCx-1eW-bES2Rn6T0ctCryUm8GiutZeajLJwY83uHcnm1Fop-0HhDcz7syF0lve9Og-7KyiktE.rR8bZNR5SX2pw_-k_gQwjQ9qGo_inLB_Upy6M1uWOfI&amp;dib_tag=se&amp;keywords=MAX7221&amp;qid=1789835429&amp;sprefix=max7221%2Caps%2C133&amp;sr=8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C386-7A5E-4717-B718-9C7DCDE9221F}">
  <dimension ref="A1:AG29"/>
  <sheetViews>
    <sheetView tabSelected="1" workbookViewId="0">
      <selection activeCell="C6" sqref="C6"/>
    </sheetView>
  </sheetViews>
  <sheetFormatPr defaultRowHeight="14.4" x14ac:dyDescent="0.55000000000000004"/>
  <cols>
    <col min="1" max="1" width="17.9453125" customWidth="1"/>
    <col min="2" max="2" width="6.89453125" customWidth="1"/>
    <col min="3" max="3" width="21.62890625" customWidth="1"/>
    <col min="4" max="4" width="60.734375" customWidth="1"/>
    <col min="5" max="5" width="33.7890625" customWidth="1"/>
    <col min="6" max="6" width="72.41796875" customWidth="1"/>
    <col min="16" max="16" width="34.47265625" customWidth="1"/>
    <col min="17" max="17" width="24.7890625" customWidth="1"/>
    <col min="23" max="23" width="9" customWidth="1"/>
    <col min="24" max="24" width="8.1015625" customWidth="1"/>
    <col min="25" max="25" width="9.26171875" customWidth="1"/>
    <col min="26" max="26" width="9.83984375" customWidth="1"/>
    <col min="32" max="32" width="17.47265625" customWidth="1"/>
  </cols>
  <sheetData>
    <row r="1" spans="1:33" ht="14.7" thickBot="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3" x14ac:dyDescent="0.55000000000000004">
      <c r="A2" t="s">
        <v>6</v>
      </c>
      <c r="B2" s="8">
        <v>1</v>
      </c>
      <c r="C2" t="s">
        <v>7</v>
      </c>
      <c r="D2" t="s">
        <v>8</v>
      </c>
      <c r="E2" s="4" t="s">
        <v>9</v>
      </c>
      <c r="F2" t="s">
        <v>10</v>
      </c>
      <c r="O2" s="29" t="s">
        <v>132</v>
      </c>
      <c r="P2" s="11" t="s">
        <v>4</v>
      </c>
      <c r="Q2" s="11" t="s">
        <v>107</v>
      </c>
      <c r="R2" s="12" t="s">
        <v>140</v>
      </c>
      <c r="S2" s="11" t="s">
        <v>139</v>
      </c>
      <c r="T2" s="11" t="s">
        <v>109</v>
      </c>
      <c r="U2" s="11" t="s">
        <v>153</v>
      </c>
      <c r="V2" s="11" t="s">
        <v>108</v>
      </c>
      <c r="W2" s="11" t="s">
        <v>152</v>
      </c>
      <c r="X2" s="11" t="s">
        <v>150</v>
      </c>
      <c r="Y2" s="11" t="s">
        <v>110</v>
      </c>
      <c r="Z2" s="13" t="s">
        <v>145</v>
      </c>
      <c r="AC2" s="27" t="s">
        <v>154</v>
      </c>
      <c r="AD2" s="28">
        <v>7.4999999999999997E-2</v>
      </c>
      <c r="AG2" s="26"/>
    </row>
    <row r="3" spans="1:33" x14ac:dyDescent="0.55000000000000004">
      <c r="A3" t="s">
        <v>11</v>
      </c>
      <c r="B3" s="8">
        <v>2</v>
      </c>
      <c r="C3" t="s">
        <v>12</v>
      </c>
      <c r="D3" t="s">
        <v>13</v>
      </c>
      <c r="E3" s="4" t="s">
        <v>14</v>
      </c>
      <c r="F3" t="s">
        <v>15</v>
      </c>
      <c r="O3" s="34" t="b">
        <v>1</v>
      </c>
      <c r="P3" s="14" t="s">
        <v>14</v>
      </c>
      <c r="Q3" s="14" t="s">
        <v>111</v>
      </c>
      <c r="R3" s="15">
        <v>2</v>
      </c>
      <c r="S3" s="15">
        <v>10</v>
      </c>
      <c r="T3" s="16">
        <v>4.3999999999999997E-2</v>
      </c>
      <c r="U3" s="16">
        <v>4.6299999999999996E-3</v>
      </c>
      <c r="V3" s="16">
        <f>T3*S3</f>
        <v>0.43999999999999995</v>
      </c>
      <c r="W3" s="16">
        <f>U3*S3</f>
        <v>4.6299999999999994E-2</v>
      </c>
      <c r="X3" s="18">
        <f>(V3+W3)*$AD$2</f>
        <v>3.6472499999999998E-2</v>
      </c>
      <c r="Y3" s="16">
        <f t="shared" ref="Y3:Y19" si="0">V3+W3</f>
        <v>0.48629999999999995</v>
      </c>
      <c r="Z3" s="35">
        <f t="shared" ref="Z3:Z19" si="1">(Y3/S3)*R3</f>
        <v>9.7259999999999985E-2</v>
      </c>
      <c r="AG3" s="26"/>
    </row>
    <row r="4" spans="1:33" x14ac:dyDescent="0.55000000000000004">
      <c r="A4" t="s">
        <v>16</v>
      </c>
      <c r="B4" s="8">
        <v>6</v>
      </c>
      <c r="C4" t="s">
        <v>141</v>
      </c>
      <c r="D4" t="s">
        <v>13</v>
      </c>
      <c r="E4" s="4" t="s">
        <v>17</v>
      </c>
      <c r="F4" t="s">
        <v>18</v>
      </c>
      <c r="O4" s="36" t="b">
        <v>1</v>
      </c>
      <c r="P4" t="s">
        <v>17</v>
      </c>
      <c r="Q4" t="s">
        <v>112</v>
      </c>
      <c r="R4" s="8">
        <v>6</v>
      </c>
      <c r="S4" s="8">
        <v>20</v>
      </c>
      <c r="T4" s="17">
        <v>8.2000000000000003E-2</v>
      </c>
      <c r="U4" s="17">
        <v>8.7299999999999999E-3</v>
      </c>
      <c r="V4" s="17">
        <f t="shared" ref="V4:V19" si="2">T4*S4</f>
        <v>1.6400000000000001</v>
      </c>
      <c r="W4" s="17">
        <f t="shared" ref="W4:W19" si="3">U4*S4</f>
        <v>0.17460000000000001</v>
      </c>
      <c r="X4" s="24">
        <f t="shared" ref="X4:X19" si="4">(V4+W4)*$AD$2</f>
        <v>0.13609500000000002</v>
      </c>
      <c r="Y4" s="17">
        <f t="shared" si="0"/>
        <v>1.8146000000000002</v>
      </c>
      <c r="Z4" s="37">
        <f t="shared" si="1"/>
        <v>0.54438000000000009</v>
      </c>
      <c r="AC4" s="7"/>
      <c r="AD4" s="17"/>
    </row>
    <row r="5" spans="1:33" x14ac:dyDescent="0.55000000000000004">
      <c r="A5" t="s">
        <v>19</v>
      </c>
      <c r="B5" s="8">
        <v>1</v>
      </c>
      <c r="C5" t="s">
        <v>142</v>
      </c>
      <c r="D5" t="s">
        <v>13</v>
      </c>
      <c r="E5" s="4" t="s">
        <v>20</v>
      </c>
      <c r="F5" t="s">
        <v>21</v>
      </c>
      <c r="O5" s="36" t="b">
        <v>1</v>
      </c>
      <c r="P5" t="s">
        <v>20</v>
      </c>
      <c r="Q5" t="s">
        <v>113</v>
      </c>
      <c r="R5" s="8">
        <v>1</v>
      </c>
      <c r="S5" s="8">
        <v>10</v>
      </c>
      <c r="T5" s="17">
        <v>7.1999999999999995E-2</v>
      </c>
      <c r="U5" s="17">
        <v>7.45E-3</v>
      </c>
      <c r="V5" s="17">
        <f t="shared" si="2"/>
        <v>0.72</v>
      </c>
      <c r="W5" s="17">
        <f t="shared" si="3"/>
        <v>7.4499999999999997E-2</v>
      </c>
      <c r="X5" s="24">
        <f t="shared" si="4"/>
        <v>5.9587499999999995E-2</v>
      </c>
      <c r="Y5" s="17">
        <f t="shared" si="0"/>
        <v>0.79449999999999998</v>
      </c>
      <c r="Z5" s="37">
        <f t="shared" si="1"/>
        <v>7.9449999999999993E-2</v>
      </c>
    </row>
    <row r="6" spans="1:33" x14ac:dyDescent="0.55000000000000004">
      <c r="A6" t="s">
        <v>22</v>
      </c>
      <c r="B6" s="8">
        <v>2</v>
      </c>
      <c r="C6" t="s">
        <v>142</v>
      </c>
      <c r="D6" t="s">
        <v>144</v>
      </c>
      <c r="E6" s="4" t="s">
        <v>23</v>
      </c>
      <c r="F6" t="s">
        <v>24</v>
      </c>
      <c r="O6" s="36" t="b">
        <v>1</v>
      </c>
      <c r="P6" t="s">
        <v>23</v>
      </c>
      <c r="Q6" t="s">
        <v>114</v>
      </c>
      <c r="R6" s="8">
        <v>2</v>
      </c>
      <c r="S6" s="8">
        <v>10</v>
      </c>
      <c r="T6" s="17">
        <v>0.31</v>
      </c>
      <c r="U6" s="17">
        <v>2.4799999999999999E-2</v>
      </c>
      <c r="V6" s="17">
        <f t="shared" si="2"/>
        <v>3.1</v>
      </c>
      <c r="W6" s="17">
        <f t="shared" si="3"/>
        <v>0.248</v>
      </c>
      <c r="X6" s="24">
        <f t="shared" si="4"/>
        <v>0.25109999999999999</v>
      </c>
      <c r="Y6" s="17">
        <f t="shared" si="0"/>
        <v>3.3479999999999999</v>
      </c>
      <c r="Z6" s="37">
        <f t="shared" si="1"/>
        <v>0.66959999999999997</v>
      </c>
    </row>
    <row r="7" spans="1:33" x14ac:dyDescent="0.55000000000000004">
      <c r="A7" t="s">
        <v>25</v>
      </c>
      <c r="B7" s="8">
        <v>3</v>
      </c>
      <c r="C7" t="s">
        <v>143</v>
      </c>
      <c r="D7" t="s">
        <v>13</v>
      </c>
      <c r="E7" s="4" t="s">
        <v>26</v>
      </c>
      <c r="F7" t="s">
        <v>27</v>
      </c>
      <c r="O7" s="36" t="b">
        <v>1</v>
      </c>
      <c r="P7" t="s">
        <v>26</v>
      </c>
      <c r="Q7" t="s">
        <v>115</v>
      </c>
      <c r="R7" s="8">
        <v>3</v>
      </c>
      <c r="S7" s="8">
        <v>15</v>
      </c>
      <c r="T7" s="17">
        <v>0.14099999999999999</v>
      </c>
      <c r="U7" s="17">
        <v>1.469E-2</v>
      </c>
      <c r="V7" s="17">
        <f t="shared" si="2"/>
        <v>2.1149999999999998</v>
      </c>
      <c r="W7" s="17">
        <f t="shared" si="3"/>
        <v>0.22034999999999999</v>
      </c>
      <c r="X7" s="24">
        <f t="shared" si="4"/>
        <v>0.17515124999999995</v>
      </c>
      <c r="Y7" s="17">
        <f t="shared" si="0"/>
        <v>2.3353499999999996</v>
      </c>
      <c r="Z7" s="37">
        <f t="shared" si="1"/>
        <v>0.46706999999999987</v>
      </c>
    </row>
    <row r="8" spans="1:33" x14ac:dyDescent="0.55000000000000004">
      <c r="A8" t="s">
        <v>28</v>
      </c>
      <c r="B8" s="8">
        <v>2</v>
      </c>
      <c r="C8" t="s">
        <v>128</v>
      </c>
      <c r="D8" t="s">
        <v>29</v>
      </c>
      <c r="E8" s="4" t="s">
        <v>131</v>
      </c>
      <c r="F8" t="s">
        <v>136</v>
      </c>
      <c r="O8" s="36" t="b">
        <v>1</v>
      </c>
      <c r="P8" t="s">
        <v>40</v>
      </c>
      <c r="Q8" t="s">
        <v>116</v>
      </c>
      <c r="R8" s="8">
        <v>1</v>
      </c>
      <c r="S8" s="8">
        <v>4</v>
      </c>
      <c r="T8" s="17">
        <v>0.49</v>
      </c>
      <c r="U8" s="17">
        <v>0.12862999999999999</v>
      </c>
      <c r="V8" s="17">
        <f t="shared" si="2"/>
        <v>1.96</v>
      </c>
      <c r="W8" s="17">
        <f t="shared" si="3"/>
        <v>0.51451999999999998</v>
      </c>
      <c r="X8" s="24">
        <f t="shared" si="4"/>
        <v>0.185589</v>
      </c>
      <c r="Y8" s="17">
        <f t="shared" si="0"/>
        <v>2.4745200000000001</v>
      </c>
      <c r="Z8" s="37">
        <f t="shared" si="1"/>
        <v>0.61863000000000001</v>
      </c>
    </row>
    <row r="9" spans="1:33" x14ac:dyDescent="0.55000000000000004">
      <c r="A9" t="s">
        <v>30</v>
      </c>
      <c r="B9" s="8">
        <v>1</v>
      </c>
      <c r="C9" t="s">
        <v>129</v>
      </c>
      <c r="D9" t="s">
        <v>31</v>
      </c>
      <c r="E9" s="4" t="s">
        <v>130</v>
      </c>
      <c r="F9" t="s">
        <v>136</v>
      </c>
      <c r="O9" s="36" t="b">
        <v>1</v>
      </c>
      <c r="P9" t="s">
        <v>66</v>
      </c>
      <c r="Q9" t="s">
        <v>117</v>
      </c>
      <c r="R9" s="8">
        <v>1</v>
      </c>
      <c r="S9" s="8">
        <v>5</v>
      </c>
      <c r="T9" s="17">
        <v>0.2</v>
      </c>
      <c r="U9" s="17">
        <v>4.7469999999999998E-2</v>
      </c>
      <c r="V9" s="17">
        <f t="shared" si="2"/>
        <v>1</v>
      </c>
      <c r="W9" s="17">
        <f t="shared" si="3"/>
        <v>0.23735000000000001</v>
      </c>
      <c r="X9" s="24">
        <f t="shared" si="4"/>
        <v>9.2801249999999988E-2</v>
      </c>
      <c r="Y9" s="17">
        <f t="shared" si="0"/>
        <v>1.2373499999999999</v>
      </c>
      <c r="Z9" s="37">
        <f t="shared" si="1"/>
        <v>0.24747</v>
      </c>
    </row>
    <row r="10" spans="1:33" x14ac:dyDescent="0.55000000000000004">
      <c r="A10" t="s">
        <v>32</v>
      </c>
      <c r="B10" s="8">
        <v>1</v>
      </c>
      <c r="C10" t="s">
        <v>33</v>
      </c>
      <c r="D10" t="s">
        <v>34</v>
      </c>
      <c r="E10" s="2" t="s">
        <v>35</v>
      </c>
      <c r="F10" t="s">
        <v>36</v>
      </c>
      <c r="O10" s="36" t="b">
        <v>1</v>
      </c>
      <c r="P10" t="s">
        <v>71</v>
      </c>
      <c r="Q10" t="s">
        <v>118</v>
      </c>
      <c r="R10" s="8">
        <v>1</v>
      </c>
      <c r="S10" s="8">
        <v>4</v>
      </c>
      <c r="T10" s="17">
        <v>1.63</v>
      </c>
      <c r="U10" s="17">
        <v>0.12225</v>
      </c>
      <c r="V10" s="17">
        <f t="shared" si="2"/>
        <v>6.52</v>
      </c>
      <c r="W10" s="17">
        <f t="shared" si="3"/>
        <v>0.48899999999999999</v>
      </c>
      <c r="X10" s="24">
        <f t="shared" si="4"/>
        <v>0.52567499999999989</v>
      </c>
      <c r="Y10" s="17">
        <f t="shared" si="0"/>
        <v>7.0089999999999995</v>
      </c>
      <c r="Z10" s="37">
        <f t="shared" si="1"/>
        <v>1.7522499999999999</v>
      </c>
    </row>
    <row r="11" spans="1:33" x14ac:dyDescent="0.55000000000000004">
      <c r="A11" t="s">
        <v>37</v>
      </c>
      <c r="B11" s="8">
        <v>1</v>
      </c>
      <c r="C11" t="s">
        <v>38</v>
      </c>
      <c r="D11" t="s">
        <v>39</v>
      </c>
      <c r="E11" s="4" t="s">
        <v>40</v>
      </c>
      <c r="F11" t="s">
        <v>41</v>
      </c>
      <c r="O11" s="36" t="b">
        <v>1</v>
      </c>
      <c r="P11" t="s">
        <v>80</v>
      </c>
      <c r="Q11" t="s">
        <v>122</v>
      </c>
      <c r="R11" s="8">
        <v>1</v>
      </c>
      <c r="S11" s="8">
        <v>2</v>
      </c>
      <c r="T11" s="17">
        <v>13.85</v>
      </c>
      <c r="U11" s="17">
        <v>1.1080000000000001</v>
      </c>
      <c r="V11" s="17">
        <f t="shared" si="2"/>
        <v>27.7</v>
      </c>
      <c r="W11" s="17">
        <f t="shared" si="3"/>
        <v>2.2160000000000002</v>
      </c>
      <c r="X11" s="24">
        <f t="shared" si="4"/>
        <v>2.2437</v>
      </c>
      <c r="Y11" s="17">
        <f t="shared" si="0"/>
        <v>29.916</v>
      </c>
      <c r="Z11" s="37">
        <f t="shared" si="1"/>
        <v>14.958</v>
      </c>
    </row>
    <row r="12" spans="1:33" x14ac:dyDescent="0.55000000000000004">
      <c r="A12" t="s">
        <v>42</v>
      </c>
      <c r="B12" s="8">
        <v>1</v>
      </c>
      <c r="C12" t="s">
        <v>124</v>
      </c>
      <c r="D12" t="s">
        <v>43</v>
      </c>
      <c r="E12" s="5"/>
      <c r="O12" s="36" t="b">
        <v>1</v>
      </c>
      <c r="P12" t="s">
        <v>85</v>
      </c>
      <c r="Q12" t="s">
        <v>121</v>
      </c>
      <c r="R12" s="8">
        <v>1</v>
      </c>
      <c r="S12" s="8">
        <v>3</v>
      </c>
      <c r="T12" s="17">
        <v>5.15</v>
      </c>
      <c r="U12" s="17">
        <v>2.06</v>
      </c>
      <c r="V12" s="17">
        <f t="shared" si="2"/>
        <v>15.450000000000001</v>
      </c>
      <c r="W12" s="17">
        <f t="shared" si="3"/>
        <v>6.18</v>
      </c>
      <c r="X12" s="24">
        <f t="shared" si="4"/>
        <v>1.6222500000000002</v>
      </c>
      <c r="Y12" s="17">
        <f t="shared" si="0"/>
        <v>21.630000000000003</v>
      </c>
      <c r="Z12" s="37">
        <f t="shared" si="1"/>
        <v>7.2100000000000009</v>
      </c>
    </row>
    <row r="13" spans="1:33" x14ac:dyDescent="0.55000000000000004">
      <c r="A13" t="s">
        <v>45</v>
      </c>
      <c r="B13" s="8">
        <v>4</v>
      </c>
      <c r="C13" t="s">
        <v>46</v>
      </c>
      <c r="D13" t="s">
        <v>47</v>
      </c>
      <c r="E13" s="5"/>
      <c r="O13" s="36" t="b">
        <v>1</v>
      </c>
      <c r="P13" t="s">
        <v>90</v>
      </c>
      <c r="Q13" t="s">
        <v>120</v>
      </c>
      <c r="R13" s="8">
        <v>1</v>
      </c>
      <c r="S13" s="8">
        <v>5</v>
      </c>
      <c r="T13" s="17">
        <v>0.31</v>
      </c>
      <c r="U13" s="17">
        <v>0.11625000000000001</v>
      </c>
      <c r="V13" s="17">
        <f t="shared" si="2"/>
        <v>1.55</v>
      </c>
      <c r="W13" s="17">
        <f t="shared" si="3"/>
        <v>0.58125000000000004</v>
      </c>
      <c r="X13" s="24">
        <f t="shared" si="4"/>
        <v>0.15984375000000001</v>
      </c>
      <c r="Y13" s="17">
        <f t="shared" si="0"/>
        <v>2.1312500000000001</v>
      </c>
      <c r="Z13" s="37">
        <f t="shared" si="1"/>
        <v>0.42625000000000002</v>
      </c>
    </row>
    <row r="14" spans="1:33" x14ac:dyDescent="0.55000000000000004">
      <c r="A14" t="s">
        <v>48</v>
      </c>
      <c r="B14" s="8">
        <v>2</v>
      </c>
      <c r="C14" t="s">
        <v>49</v>
      </c>
      <c r="D14" t="s">
        <v>47</v>
      </c>
      <c r="E14" s="5"/>
      <c r="I14" t="s">
        <v>104</v>
      </c>
      <c r="J14" t="s">
        <v>105</v>
      </c>
      <c r="K14" t="s">
        <v>106</v>
      </c>
      <c r="O14" s="36" t="b">
        <v>1</v>
      </c>
      <c r="P14" t="s">
        <v>95</v>
      </c>
      <c r="Q14" t="s">
        <v>119</v>
      </c>
      <c r="R14" s="8">
        <v>1</v>
      </c>
      <c r="S14" s="8">
        <v>4</v>
      </c>
      <c r="T14" s="17">
        <v>0.54</v>
      </c>
      <c r="U14" s="17">
        <v>0.24299999999999999</v>
      </c>
      <c r="V14" s="17">
        <f t="shared" si="2"/>
        <v>2.16</v>
      </c>
      <c r="W14" s="17">
        <f t="shared" si="3"/>
        <v>0.97199999999999998</v>
      </c>
      <c r="X14" s="24">
        <f t="shared" si="4"/>
        <v>0.2349</v>
      </c>
      <c r="Y14" s="17">
        <f t="shared" si="0"/>
        <v>3.1320000000000001</v>
      </c>
      <c r="Z14" s="37">
        <f t="shared" si="1"/>
        <v>0.78300000000000003</v>
      </c>
    </row>
    <row r="15" spans="1:33" x14ac:dyDescent="0.55000000000000004">
      <c r="A15" t="s">
        <v>50</v>
      </c>
      <c r="B15" s="8">
        <v>1</v>
      </c>
      <c r="C15" t="s">
        <v>51</v>
      </c>
      <c r="D15" t="s">
        <v>47</v>
      </c>
      <c r="E15" s="5"/>
      <c r="H15" s="7" t="s">
        <v>102</v>
      </c>
      <c r="I15">
        <v>2.1</v>
      </c>
      <c r="J15">
        <v>5.5</v>
      </c>
      <c r="K15">
        <f>I15*J15</f>
        <v>11.55</v>
      </c>
      <c r="O15" s="36" t="b">
        <v>1</v>
      </c>
      <c r="P15" t="s">
        <v>9</v>
      </c>
      <c r="Q15" t="s">
        <v>123</v>
      </c>
      <c r="R15" s="8">
        <v>1</v>
      </c>
      <c r="S15" s="8">
        <v>3</v>
      </c>
      <c r="T15" s="17">
        <v>1.3</v>
      </c>
      <c r="U15" s="17">
        <v>0</v>
      </c>
      <c r="V15" s="17">
        <f t="shared" si="2"/>
        <v>3.9000000000000004</v>
      </c>
      <c r="W15" s="17">
        <f t="shared" si="3"/>
        <v>0</v>
      </c>
      <c r="X15" s="24">
        <f t="shared" si="4"/>
        <v>0.29250000000000004</v>
      </c>
      <c r="Y15" s="17">
        <f t="shared" si="0"/>
        <v>3.9000000000000004</v>
      </c>
      <c r="Z15" s="37">
        <f t="shared" si="1"/>
        <v>1.3</v>
      </c>
    </row>
    <row r="16" spans="1:33" x14ac:dyDescent="0.55000000000000004">
      <c r="A16" t="s">
        <v>52</v>
      </c>
      <c r="B16" s="8">
        <v>1</v>
      </c>
      <c r="C16" t="s">
        <v>53</v>
      </c>
      <c r="D16" t="s">
        <v>47</v>
      </c>
      <c r="E16" s="5"/>
      <c r="H16" s="7" t="s">
        <v>103</v>
      </c>
      <c r="I16">
        <v>1.6759999999999999</v>
      </c>
      <c r="J16">
        <v>4.9649999999999999</v>
      </c>
      <c r="K16">
        <f>I16*J16</f>
        <v>8.3213399999999993</v>
      </c>
      <c r="O16" s="36" t="b">
        <v>1</v>
      </c>
      <c r="P16" t="s">
        <v>131</v>
      </c>
      <c r="Q16" t="s">
        <v>126</v>
      </c>
      <c r="R16" s="8">
        <v>4</v>
      </c>
      <c r="S16" s="8">
        <v>10</v>
      </c>
      <c r="T16" s="17">
        <v>0.30599999999999999</v>
      </c>
      <c r="U16" s="17">
        <v>8.5680000000000006E-2</v>
      </c>
      <c r="V16" s="17">
        <f t="shared" si="2"/>
        <v>3.06</v>
      </c>
      <c r="W16" s="17">
        <f t="shared" si="3"/>
        <v>0.85680000000000001</v>
      </c>
      <c r="X16" s="24">
        <f t="shared" si="4"/>
        <v>0.29376000000000002</v>
      </c>
      <c r="Y16" s="17">
        <f t="shared" si="0"/>
        <v>3.9168000000000003</v>
      </c>
      <c r="Z16" s="37">
        <f t="shared" si="1"/>
        <v>1.5667200000000001</v>
      </c>
    </row>
    <row r="17" spans="1:27" x14ac:dyDescent="0.55000000000000004">
      <c r="A17" t="s">
        <v>54</v>
      </c>
      <c r="B17" s="8">
        <v>2</v>
      </c>
      <c r="C17" t="s">
        <v>55</v>
      </c>
      <c r="D17" t="s">
        <v>47</v>
      </c>
      <c r="E17" s="4" t="s">
        <v>134</v>
      </c>
      <c r="F17" t="s">
        <v>58</v>
      </c>
      <c r="K17" s="25">
        <f>K16/K15</f>
        <v>0.72046233766233758</v>
      </c>
      <c r="O17" s="36" t="b">
        <v>1</v>
      </c>
      <c r="P17" t="s">
        <v>130</v>
      </c>
      <c r="Q17" t="s">
        <v>127</v>
      </c>
      <c r="R17" s="8">
        <v>2</v>
      </c>
      <c r="S17" s="8">
        <v>4</v>
      </c>
      <c r="T17" s="17">
        <v>0.4</v>
      </c>
      <c r="U17" s="17">
        <v>0.112</v>
      </c>
      <c r="V17" s="17">
        <f t="shared" si="2"/>
        <v>1.6</v>
      </c>
      <c r="W17" s="17">
        <f t="shared" si="3"/>
        <v>0.44800000000000001</v>
      </c>
      <c r="X17" s="24">
        <f t="shared" si="4"/>
        <v>0.15359999999999999</v>
      </c>
      <c r="Y17" s="17">
        <f t="shared" si="0"/>
        <v>2.048</v>
      </c>
      <c r="Z17" s="37">
        <f t="shared" si="1"/>
        <v>1.024</v>
      </c>
    </row>
    <row r="18" spans="1:27" x14ac:dyDescent="0.55000000000000004">
      <c r="A18" t="s">
        <v>56</v>
      </c>
      <c r="B18" s="8">
        <v>1</v>
      </c>
      <c r="C18" t="s">
        <v>57</v>
      </c>
      <c r="D18" t="s">
        <v>47</v>
      </c>
      <c r="E18" s="10"/>
      <c r="O18" s="36" t="b">
        <v>1</v>
      </c>
      <c r="P18" t="s">
        <v>134</v>
      </c>
      <c r="Q18" t="s">
        <v>135</v>
      </c>
      <c r="R18" s="8">
        <v>2</v>
      </c>
      <c r="S18" s="8">
        <v>10</v>
      </c>
      <c r="T18" s="17">
        <v>3.9E-2</v>
      </c>
      <c r="U18" s="17">
        <v>1.0240000000000001E-2</v>
      </c>
      <c r="V18" s="17">
        <f t="shared" si="2"/>
        <v>0.39</v>
      </c>
      <c r="W18" s="17">
        <f t="shared" si="3"/>
        <v>0.1024</v>
      </c>
      <c r="X18" s="24">
        <f t="shared" si="4"/>
        <v>3.6929999999999998E-2</v>
      </c>
      <c r="Y18" s="17">
        <f t="shared" si="0"/>
        <v>0.4924</v>
      </c>
      <c r="Z18" s="37">
        <f t="shared" si="1"/>
        <v>9.8479999999999998E-2</v>
      </c>
    </row>
    <row r="19" spans="1:27" x14ac:dyDescent="0.55000000000000004">
      <c r="A19" t="s">
        <v>59</v>
      </c>
      <c r="B19" s="8">
        <v>2</v>
      </c>
      <c r="C19" t="s">
        <v>60</v>
      </c>
      <c r="D19" t="s">
        <v>47</v>
      </c>
      <c r="E19" s="5"/>
      <c r="O19" s="38" t="b">
        <v>1</v>
      </c>
      <c r="P19" s="19" t="s">
        <v>137</v>
      </c>
      <c r="Q19" s="19" t="s">
        <v>138</v>
      </c>
      <c r="R19" s="20">
        <v>1</v>
      </c>
      <c r="S19" s="20">
        <v>1</v>
      </c>
      <c r="T19" s="21">
        <v>5.95</v>
      </c>
      <c r="U19" s="21">
        <v>0</v>
      </c>
      <c r="V19" s="21">
        <f t="shared" si="2"/>
        <v>5.95</v>
      </c>
      <c r="W19" s="21">
        <f t="shared" si="3"/>
        <v>0</v>
      </c>
      <c r="X19" s="22">
        <f t="shared" si="4"/>
        <v>0.44624999999999998</v>
      </c>
      <c r="Y19" s="21">
        <f t="shared" si="0"/>
        <v>5.95</v>
      </c>
      <c r="Z19" s="39">
        <f t="shared" si="1"/>
        <v>5.95</v>
      </c>
    </row>
    <row r="20" spans="1:27" x14ac:dyDescent="0.55000000000000004">
      <c r="A20" t="s">
        <v>61</v>
      </c>
      <c r="B20" s="8">
        <v>1</v>
      </c>
      <c r="C20" t="s">
        <v>125</v>
      </c>
      <c r="D20" t="s">
        <v>62</v>
      </c>
      <c r="E20" s="5"/>
      <c r="O20" s="40"/>
      <c r="P20" s="19"/>
      <c r="Q20" s="19"/>
      <c r="R20" s="20"/>
      <c r="S20" s="19"/>
      <c r="T20" s="19"/>
      <c r="U20" s="21"/>
      <c r="V20" s="23">
        <f>SUMIF(O3:O19,TRUE,V3:V19)</f>
        <v>79.25500000000001</v>
      </c>
      <c r="W20" s="23">
        <f>SUMIF(O3:O19, TRUE, W3:W19)</f>
        <v>13.36107</v>
      </c>
      <c r="X20" s="22">
        <f>SUMIF(O3:O19, TRUE, X3:X19)</f>
        <v>6.9462052500000002</v>
      </c>
      <c r="Y20" s="23">
        <f>V20+W20+X20+4.99</f>
        <v>104.55227525000001</v>
      </c>
      <c r="Z20" s="39">
        <f>SUMIF(O3:O19, TRUE, Z3:Z19)+X20</f>
        <v>44.73876525</v>
      </c>
    </row>
    <row r="21" spans="1:27" x14ac:dyDescent="0.55000000000000004">
      <c r="A21" t="s">
        <v>63</v>
      </c>
      <c r="B21" s="8">
        <v>1</v>
      </c>
      <c r="C21" t="s">
        <v>64</v>
      </c>
      <c r="D21" t="s">
        <v>65</v>
      </c>
      <c r="E21" s="4" t="s">
        <v>66</v>
      </c>
      <c r="F21" t="s">
        <v>67</v>
      </c>
      <c r="O21" s="36" t="b">
        <v>1</v>
      </c>
      <c r="P21" t="s">
        <v>146</v>
      </c>
      <c r="Q21" t="s">
        <v>133</v>
      </c>
      <c r="R21" s="8">
        <v>2</v>
      </c>
      <c r="S21" s="8">
        <v>10</v>
      </c>
      <c r="T21" s="17">
        <v>0.95499999999999996</v>
      </c>
      <c r="U21" s="17">
        <v>0</v>
      </c>
      <c r="V21" s="17">
        <f>T21*S21</f>
        <v>9.5499999999999989</v>
      </c>
      <c r="W21" s="17">
        <v>0</v>
      </c>
      <c r="X21" s="24">
        <f>V21*$AD$2</f>
        <v>0.71624999999999994</v>
      </c>
      <c r="Y21" s="17">
        <f>V21+W21+X21</f>
        <v>10.266249999999999</v>
      </c>
      <c r="Z21" s="37">
        <f>(Y21/S21)*R21</f>
        <v>2.0532499999999998</v>
      </c>
    </row>
    <row r="22" spans="1:27" x14ac:dyDescent="0.55000000000000004">
      <c r="A22" t="s">
        <v>68</v>
      </c>
      <c r="B22" s="8">
        <v>1</v>
      </c>
      <c r="C22" t="s">
        <v>69</v>
      </c>
      <c r="D22" t="s">
        <v>70</v>
      </c>
      <c r="E22" s="4" t="s">
        <v>71</v>
      </c>
      <c r="F22" t="s">
        <v>72</v>
      </c>
      <c r="O22" s="36" t="b">
        <v>0</v>
      </c>
      <c r="P22" t="s">
        <v>148</v>
      </c>
      <c r="Q22" t="s">
        <v>147</v>
      </c>
      <c r="R22" s="8">
        <v>2</v>
      </c>
      <c r="S22" s="8">
        <v>5</v>
      </c>
      <c r="T22" s="17">
        <v>1.506</v>
      </c>
      <c r="U22" s="17">
        <v>0</v>
      </c>
      <c r="V22" s="17">
        <f t="shared" ref="V22:V23" si="5">T22*S22</f>
        <v>7.53</v>
      </c>
      <c r="W22" s="17">
        <v>0</v>
      </c>
      <c r="X22" s="24">
        <f t="shared" ref="X22:X23" si="6">V22*$AD$2</f>
        <v>0.56474999999999997</v>
      </c>
      <c r="Y22" s="17">
        <f t="shared" ref="Y22:Y23" si="7">V22+W22+X22</f>
        <v>8.0947499999999994</v>
      </c>
      <c r="Z22" s="37">
        <f>(Y22/S22)*R22</f>
        <v>3.2378999999999998</v>
      </c>
    </row>
    <row r="23" spans="1:27" x14ac:dyDescent="0.55000000000000004">
      <c r="A23" t="s">
        <v>73</v>
      </c>
      <c r="B23" s="8">
        <v>2</v>
      </c>
      <c r="C23" t="s">
        <v>74</v>
      </c>
      <c r="D23" t="s">
        <v>75</v>
      </c>
      <c r="E23" s="1" t="s">
        <v>44</v>
      </c>
      <c r="F23" t="s">
        <v>76</v>
      </c>
      <c r="O23" s="38" t="b">
        <v>0</v>
      </c>
      <c r="P23" s="19" t="s">
        <v>149</v>
      </c>
      <c r="Q23" s="19" t="s">
        <v>147</v>
      </c>
      <c r="R23" s="20">
        <v>2</v>
      </c>
      <c r="S23" s="20">
        <v>5</v>
      </c>
      <c r="T23" s="21">
        <v>1.714</v>
      </c>
      <c r="U23" s="21">
        <v>0</v>
      </c>
      <c r="V23" s="21">
        <f t="shared" si="5"/>
        <v>8.57</v>
      </c>
      <c r="W23" s="21">
        <v>0</v>
      </c>
      <c r="X23" s="22">
        <f t="shared" si="6"/>
        <v>0.64275000000000004</v>
      </c>
      <c r="Y23" s="21">
        <f t="shared" si="7"/>
        <v>9.2127499999999998</v>
      </c>
      <c r="Z23" s="39">
        <f>(Y23/S23)*R23</f>
        <v>3.6850999999999998</v>
      </c>
    </row>
    <row r="24" spans="1:27" x14ac:dyDescent="0.55000000000000004">
      <c r="A24" t="s">
        <v>77</v>
      </c>
      <c r="B24" s="8">
        <v>1</v>
      </c>
      <c r="C24" t="s">
        <v>78</v>
      </c>
      <c r="D24" t="s">
        <v>79</v>
      </c>
      <c r="E24" s="4" t="s">
        <v>80</v>
      </c>
      <c r="F24" s="1" t="s">
        <v>81</v>
      </c>
      <c r="O24" s="36" t="b">
        <v>1</v>
      </c>
      <c r="P24" t="s">
        <v>155</v>
      </c>
      <c r="Q24" t="s">
        <v>157</v>
      </c>
      <c r="R24" s="8">
        <v>1</v>
      </c>
      <c r="S24" s="8">
        <v>5</v>
      </c>
      <c r="T24" s="17">
        <f>V24/S24</f>
        <v>13.524000000000001</v>
      </c>
      <c r="U24" s="24" t="str">
        <f>IF(W24="(unkn)", "(unkn)", W24/S24)</f>
        <v>(unkn)</v>
      </c>
      <c r="V24" s="17">
        <v>67.62</v>
      </c>
      <c r="W24" s="24" t="s">
        <v>151</v>
      </c>
      <c r="X24" s="24">
        <f>SUM(V24:W24)*$AD$2</f>
        <v>5.0715000000000003</v>
      </c>
      <c r="Y24" s="17">
        <f>(V24-(V24*1%))+SUM(W24:X24)+13.37</f>
        <v>85.385300000000015</v>
      </c>
      <c r="Z24" s="37">
        <f>Y24/S24</f>
        <v>17.077060000000003</v>
      </c>
    </row>
    <row r="25" spans="1:27" ht="14.7" thickBot="1" x14ac:dyDescent="0.6">
      <c r="A25" t="s">
        <v>82</v>
      </c>
      <c r="B25" s="8">
        <v>1</v>
      </c>
      <c r="C25" t="s">
        <v>83</v>
      </c>
      <c r="D25" t="s">
        <v>84</v>
      </c>
      <c r="E25" s="4" t="s">
        <v>85</v>
      </c>
      <c r="F25" t="s">
        <v>86</v>
      </c>
      <c r="O25" s="41" t="b">
        <v>0</v>
      </c>
      <c r="P25" s="30" t="s">
        <v>156</v>
      </c>
      <c r="Q25" s="30" t="s">
        <v>158</v>
      </c>
      <c r="R25" s="31">
        <v>1</v>
      </c>
      <c r="S25" s="31">
        <v>3</v>
      </c>
      <c r="T25" s="32">
        <f>V25/S25</f>
        <v>28.400000000000002</v>
      </c>
      <c r="U25" s="33">
        <f>IF(W25="(unkn)", "(unkn)", W25/S25)</f>
        <v>0</v>
      </c>
      <c r="V25" s="32">
        <v>85.2</v>
      </c>
      <c r="W25" s="33">
        <v>0</v>
      </c>
      <c r="X25" s="33">
        <f>SUM(V25:W25)*$AD$2</f>
        <v>6.39</v>
      </c>
      <c r="Y25" s="32">
        <f>SUM(V25:X25)+0</f>
        <v>91.59</v>
      </c>
      <c r="Z25" s="42">
        <f>Y25/S25</f>
        <v>30.53</v>
      </c>
    </row>
    <row r="26" spans="1:27" ht="14.7" thickBot="1" x14ac:dyDescent="0.6">
      <c r="A26" t="s">
        <v>87</v>
      </c>
      <c r="B26" s="8">
        <v>1</v>
      </c>
      <c r="C26" t="s">
        <v>88</v>
      </c>
      <c r="D26" t="s">
        <v>89</v>
      </c>
      <c r="E26" s="4" t="s">
        <v>90</v>
      </c>
      <c r="F26" t="s">
        <v>91</v>
      </c>
      <c r="O26" s="8"/>
      <c r="R26" s="8"/>
      <c r="Y26" s="43">
        <f>Y20+SUMIF(O21:O25, TRUE, Y21:Y25)</f>
        <v>200.20382525000002</v>
      </c>
      <c r="Z26" s="44">
        <f>Z20+SUMIF(O21:O25, TRUE, Z21:Z25)</f>
        <v>63.869075250000002</v>
      </c>
      <c r="AA26" s="9"/>
    </row>
    <row r="27" spans="1:27" x14ac:dyDescent="0.55000000000000004">
      <c r="A27" t="s">
        <v>92</v>
      </c>
      <c r="B27" s="8">
        <v>1</v>
      </c>
      <c r="C27" t="s">
        <v>93</v>
      </c>
      <c r="D27" t="s">
        <v>94</v>
      </c>
      <c r="E27" s="3" t="s">
        <v>95</v>
      </c>
      <c r="F27" t="s">
        <v>96</v>
      </c>
      <c r="O27" s="8"/>
      <c r="R27" s="8"/>
    </row>
    <row r="28" spans="1:27" x14ac:dyDescent="0.55000000000000004">
      <c r="A28" t="s">
        <v>97</v>
      </c>
      <c r="B28" s="8">
        <v>1</v>
      </c>
      <c r="C28" t="s">
        <v>98</v>
      </c>
      <c r="D28" t="s">
        <v>99</v>
      </c>
      <c r="E28" s="6" t="s">
        <v>101</v>
      </c>
      <c r="F28" t="s">
        <v>100</v>
      </c>
      <c r="R28" s="8"/>
    </row>
    <row r="29" spans="1:27" x14ac:dyDescent="0.55000000000000004">
      <c r="R29" s="8"/>
    </row>
  </sheetData>
  <phoneticPr fontId="22" type="noConversion"/>
  <conditionalFormatting sqref="P3:Z19">
    <cfRule type="expression" dxfId="1" priority="2">
      <formula>$O3=FALSE</formula>
    </cfRule>
  </conditionalFormatting>
  <conditionalFormatting sqref="P21:Z25">
    <cfRule type="expression" dxfId="0" priority="1">
      <formula>$O21=FALSE</formula>
    </cfRule>
  </conditionalFormatting>
  <hyperlinks>
    <hyperlink ref="P21" r:id="rId1" xr:uid="{797C68C2-222B-4D56-B4C4-F2A7793A8277}"/>
    <hyperlink ref="P22" r:id="rId2" xr:uid="{C4C40E70-2497-4A52-AC89-8936A2A3324E}"/>
    <hyperlink ref="P23" r:id="rId3" xr:uid="{A56771B4-3093-474F-B78F-56D606C858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launch_clock_pcb_v3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Crnkovic</cp:lastModifiedBy>
  <dcterms:created xsi:type="dcterms:W3CDTF">2026-09-18T04:00:05Z</dcterms:created>
  <dcterms:modified xsi:type="dcterms:W3CDTF">2026-10-04T03:02:42Z</dcterms:modified>
</cp:coreProperties>
</file>